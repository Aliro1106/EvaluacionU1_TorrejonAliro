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OME\Desktop\Evaluacion U1\analysis\"/>
    </mc:Choice>
  </mc:AlternateContent>
  <xr:revisionPtr revIDLastSave="0" documentId="13_ncr:1_{2E2ABEF9-D488-49AE-8438-BAE84C97F06D}" xr6:coauthVersionLast="47" xr6:coauthVersionMax="47" xr10:uidLastSave="{00000000-0000-0000-0000-000000000000}"/>
  <bookViews>
    <workbookView xWindow="0" yWindow="360" windowWidth="20730" windowHeight="1104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" l="1"/>
  <c r="E21" i="1"/>
  <c r="E22" i="1"/>
  <c r="E23" i="1"/>
  <c r="E25" i="1"/>
  <c r="E26" i="1"/>
  <c r="E20" i="1"/>
  <c r="E19" i="1"/>
  <c r="D26" i="1"/>
  <c r="D25" i="1"/>
  <c r="D24" i="1"/>
  <c r="D23" i="1"/>
  <c r="D22" i="1"/>
  <c r="D21" i="1"/>
  <c r="D20" i="1"/>
  <c r="D19" i="1"/>
  <c r="C26" i="1"/>
  <c r="C25" i="1"/>
  <c r="C24" i="1"/>
  <c r="C23" i="1"/>
  <c r="C22" i="1"/>
  <c r="C21" i="1"/>
  <c r="C20" i="1"/>
  <c r="C19" i="1"/>
  <c r="C18" i="1"/>
  <c r="B24" i="1"/>
  <c r="B21" i="1"/>
  <c r="B22" i="1"/>
  <c r="B23" i="1"/>
  <c r="B25" i="1"/>
  <c r="B26" i="1"/>
  <c r="B20" i="1"/>
  <c r="B19" i="1"/>
  <c r="B18" i="1"/>
  <c r="H12" i="1"/>
</calcChain>
</file>

<file path=xl/sharedStrings.xml><?xml version="1.0" encoding="utf-8"?>
<sst xmlns="http://schemas.openxmlformats.org/spreadsheetml/2006/main" count="46" uniqueCount="33">
  <si>
    <t>Parámetros del caso - viga simplemente apoyada</t>
  </si>
  <si>
    <t>Parámetro</t>
  </si>
  <si>
    <t>Valor</t>
  </si>
  <si>
    <t>Unidad</t>
  </si>
  <si>
    <t>Descripción</t>
  </si>
  <si>
    <t>L</t>
  </si>
  <si>
    <t>m</t>
  </si>
  <si>
    <t>Luz entre apoyos</t>
  </si>
  <si>
    <t>b</t>
  </si>
  <si>
    <t>Ancho de la sección rectangular</t>
  </si>
  <si>
    <t>h</t>
  </si>
  <si>
    <t>Altura de la sección rectangular</t>
  </si>
  <si>
    <t>E</t>
  </si>
  <si>
    <t>Módulo de elasticidad para el ejercicio</t>
  </si>
  <si>
    <t>Configuración</t>
  </si>
  <si>
    <t>Carga puntual centrada</t>
  </si>
  <si>
    <t>-</t>
  </si>
  <si>
    <t>Viga simplemente apoyada</t>
  </si>
  <si>
    <t>mm</t>
  </si>
  <si>
    <t>deflexion_medida</t>
  </si>
  <si>
    <t>kN</t>
  </si>
  <si>
    <t>carg</t>
  </si>
  <si>
    <t>I</t>
  </si>
  <si>
    <t>Pa</t>
  </si>
  <si>
    <t>dm/P</t>
  </si>
  <si>
    <t>[N]</t>
  </si>
  <si>
    <t>[m]</t>
  </si>
  <si>
    <t>%</t>
  </si>
  <si>
    <t>Carga</t>
  </si>
  <si>
    <t>Deflexión medida</t>
  </si>
  <si>
    <t>Deflexión teórica</t>
  </si>
  <si>
    <t>Diferencia relativa</t>
  </si>
  <si>
    <t>δm/P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</si>
</sst>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80" formatCode="0.00000"/>
    <numFmt numFmtId="182" formatCode="0.00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8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A499"/>
      </patternFill>
    </fill>
    <fill>
      <patternFill patternType="solid">
        <fgColor rgb="FF394049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4" borderId="0" xfId="0" applyFill="1"/>
    <xf numFmtId="0" fontId="0" fillId="4" borderId="1" xfId="0" applyFill="1" applyBorder="1" applyAlignment="1">
      <alignment horizontal="center"/>
    </xf>
    <xf numFmtId="164" fontId="0" fillId="4" borderId="0" xfId="0" applyNumberFormat="1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80" fontId="0" fillId="4" borderId="5" xfId="0" applyNumberFormat="1" applyFill="1" applyBorder="1" applyAlignment="1">
      <alignment horizontal="center"/>
    </xf>
    <xf numFmtId="180" fontId="0" fillId="4" borderId="4" xfId="0" applyNumberFormat="1" applyFill="1" applyBorder="1" applyAlignment="1">
      <alignment horizontal="center"/>
    </xf>
    <xf numFmtId="182" fontId="0" fillId="4" borderId="5" xfId="0" applyNumberFormat="1" applyFill="1" applyBorder="1" applyAlignment="1">
      <alignment horizontal="center"/>
    </xf>
    <xf numFmtId="182" fontId="0" fillId="4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Hoja1!$B$16:$B$17</c:f>
              <c:strCache>
                <c:ptCount val="2"/>
                <c:pt idx="0">
                  <c:v>Deflexión medida</c:v>
                </c:pt>
                <c:pt idx="1">
                  <c:v>[m]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Hoja1!$A$18:$A$26</c:f>
              <c:numCache>
                <c:formatCode>General</c:formatCode>
                <c:ptCount val="9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</c:numCache>
            </c:numRef>
          </c:xVal>
          <c:yVal>
            <c:numRef>
              <c:f>Hoja1!$B$18:$B$26</c:f>
              <c:numCache>
                <c:formatCode>General</c:formatCode>
                <c:ptCount val="9"/>
                <c:pt idx="0">
                  <c:v>0</c:v>
                </c:pt>
                <c:pt idx="1">
                  <c:v>2.6000000000000003E-4</c:v>
                </c:pt>
                <c:pt idx="2">
                  <c:v>5.0000000000000001E-4</c:v>
                </c:pt>
                <c:pt idx="3">
                  <c:v>7.6000000000000004E-4</c:v>
                </c:pt>
                <c:pt idx="4">
                  <c:v>1.01E-3</c:v>
                </c:pt>
                <c:pt idx="5">
                  <c:v>1.2800000000000001E-3</c:v>
                </c:pt>
                <c:pt idx="6">
                  <c:v>1.5400000000000001E-3</c:v>
                </c:pt>
                <c:pt idx="7">
                  <c:v>1.7700000000000001E-3</c:v>
                </c:pt>
                <c:pt idx="8">
                  <c:v>2.0499999999999997E-3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65-4F01-A7C1-42CCB61AFEE2}"/>
            </c:ext>
          </c:extLst>
        </c:ser>
        <c:ser>
          <c:idx val="1"/>
          <c:order val="1"/>
          <c:tx>
            <c:strRef>
              <c:f>Hoja1!$C$16:$C$17</c:f>
              <c:strCache>
                <c:ptCount val="2"/>
                <c:pt idx="0">
                  <c:v>Deflexión teórica</c:v>
                </c:pt>
                <c:pt idx="1">
                  <c:v>[m]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Hoja1!$A$18:$A$26</c:f>
              <c:numCache>
                <c:formatCode>General</c:formatCode>
                <c:ptCount val="9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</c:numCache>
            </c:numRef>
          </c:xVal>
          <c:yVal>
            <c:numRef>
              <c:f>Hoja1!$C$18:$C$26</c:f>
              <c:numCache>
                <c:formatCode>General</c:formatCode>
                <c:ptCount val="9"/>
                <c:pt idx="0">
                  <c:v>0</c:v>
                </c:pt>
                <c:pt idx="1">
                  <c:v>2.4999999999999995E-4</c:v>
                </c:pt>
                <c:pt idx="2">
                  <c:v>4.999999999999999E-4</c:v>
                </c:pt>
                <c:pt idx="3">
                  <c:v>7.4999999999999991E-4</c:v>
                </c:pt>
                <c:pt idx="4">
                  <c:v>9.999999999999998E-4</c:v>
                </c:pt>
                <c:pt idx="5">
                  <c:v>1.2499999999999998E-3</c:v>
                </c:pt>
                <c:pt idx="6">
                  <c:v>1.4999999999999998E-3</c:v>
                </c:pt>
                <c:pt idx="7">
                  <c:v>1.7499999999999996E-3</c:v>
                </c:pt>
                <c:pt idx="8">
                  <c:v>1.9999999999999996E-3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65-4F01-A7C1-42CCB61AF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876159"/>
        <c:axId val="1047730767"/>
      </c:scatterChart>
      <c:valAx>
        <c:axId val="111987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Carga</a:t>
                </a:r>
                <a:r>
                  <a:rPr lang="es-CL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 [N]</a:t>
                </a:r>
                <a:endParaRPr lang="es-CL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7730767"/>
        <c:crosses val="autoZero"/>
        <c:crossBetween val="midCat"/>
      </c:valAx>
      <c:valAx>
        <c:axId val="104773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Deflexión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19876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16</xdr:row>
      <xdr:rowOff>0</xdr:rowOff>
    </xdr:from>
    <xdr:to>
      <xdr:col>7</xdr:col>
      <xdr:colOff>57336</xdr:colOff>
      <xdr:row>19</xdr:row>
      <xdr:rowOff>133448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ABD16C-43D6-B708-C924-2EDDD773E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7150" y="3667125"/>
          <a:ext cx="1333686" cy="704948"/>
        </a:xfrm>
        <a:prstGeom prst="rect">
          <a:avLst/>
        </a:prstGeom>
      </xdr:spPr>
    </xdr:pic>
    <xdr:clientData/>
  </xdr:twoCellAnchor>
  <xdr:twoCellAnchor editAs="oneCell">
    <xdr:from>
      <xdr:col>5</xdr:col>
      <xdr:colOff>1104900</xdr:colOff>
      <xdr:row>20</xdr:row>
      <xdr:rowOff>161925</xdr:rowOff>
    </xdr:from>
    <xdr:to>
      <xdr:col>9</xdr:col>
      <xdr:colOff>1638929</xdr:colOff>
      <xdr:row>23</xdr:row>
      <xdr:rowOff>171531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C9D960-E107-CEA1-1E15-E99502F20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24750" y="4591050"/>
          <a:ext cx="4505954" cy="581106"/>
        </a:xfrm>
        <a:prstGeom prst="rect">
          <a:avLst/>
        </a:prstGeom>
      </xdr:spPr>
    </xdr:pic>
    <xdr:clientData/>
  </xdr:twoCellAnchor>
  <xdr:twoCellAnchor>
    <xdr:from>
      <xdr:col>2</xdr:col>
      <xdr:colOff>266699</xdr:colOff>
      <xdr:row>29</xdr:row>
      <xdr:rowOff>109537</xdr:rowOff>
    </xdr:from>
    <xdr:to>
      <xdr:col>6</xdr:col>
      <xdr:colOff>390525</xdr:colOff>
      <xdr:row>45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5CCA237-87DB-E4F1-1A85-F32D6BEAE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7"/>
  <sheetViews>
    <sheetView tabSelected="1" topLeftCell="A27" workbookViewId="0">
      <selection activeCell="H35" sqref="H35"/>
    </sheetView>
  </sheetViews>
  <sheetFormatPr baseColWidth="10" defaultColWidth="9.140625" defaultRowHeight="15" x14ac:dyDescent="0.25"/>
  <cols>
    <col min="1" max="1" width="13.5703125" customWidth="1"/>
    <col min="2" max="2" width="23.5703125" customWidth="1"/>
    <col min="3" max="3" width="21.85546875" customWidth="1"/>
    <col min="4" max="4" width="20.28515625" customWidth="1"/>
    <col min="5" max="5" width="17" customWidth="1"/>
    <col min="6" max="6" width="18.85546875" customWidth="1"/>
    <col min="7" max="7" width="19.140625" customWidth="1"/>
    <col min="8" max="8" width="12.42578125" customWidth="1"/>
    <col min="10" max="10" width="34.5703125" customWidth="1"/>
  </cols>
  <sheetData>
    <row r="2" spans="1:10" x14ac:dyDescent="0.25">
      <c r="A2" s="6" t="s">
        <v>21</v>
      </c>
      <c r="B2" s="6" t="s">
        <v>19</v>
      </c>
    </row>
    <row r="3" spans="1:10" ht="18.75" x14ac:dyDescent="0.3">
      <c r="A3" s="6" t="s">
        <v>20</v>
      </c>
      <c r="B3" s="6" t="s">
        <v>18</v>
      </c>
      <c r="G3" s="1" t="s">
        <v>0</v>
      </c>
      <c r="H3" s="2"/>
      <c r="I3" s="2"/>
      <c r="J3" s="2"/>
    </row>
    <row r="4" spans="1:10" x14ac:dyDescent="0.25">
      <c r="A4" s="6">
        <v>0</v>
      </c>
      <c r="B4" s="6">
        <v>0</v>
      </c>
    </row>
    <row r="5" spans="1:10" x14ac:dyDescent="0.25">
      <c r="A5" s="6">
        <v>5</v>
      </c>
      <c r="B5" s="6">
        <v>0.26</v>
      </c>
      <c r="G5" s="3" t="s">
        <v>1</v>
      </c>
      <c r="H5" s="3" t="s">
        <v>2</v>
      </c>
      <c r="I5" s="3" t="s">
        <v>3</v>
      </c>
      <c r="J5" s="3" t="s">
        <v>4</v>
      </c>
    </row>
    <row r="6" spans="1:10" x14ac:dyDescent="0.25">
      <c r="A6" s="6">
        <v>10</v>
      </c>
      <c r="B6" s="6">
        <v>0.5</v>
      </c>
      <c r="G6" s="4" t="s">
        <v>5</v>
      </c>
      <c r="H6" s="5">
        <v>4</v>
      </c>
      <c r="I6" s="4" t="s">
        <v>6</v>
      </c>
      <c r="J6" s="4" t="s">
        <v>7</v>
      </c>
    </row>
    <row r="7" spans="1:10" x14ac:dyDescent="0.25">
      <c r="A7" s="6">
        <v>15</v>
      </c>
      <c r="B7" s="6">
        <v>0.76</v>
      </c>
      <c r="G7" s="4" t="s">
        <v>8</v>
      </c>
      <c r="H7" s="5">
        <v>0.2</v>
      </c>
      <c r="I7" s="4" t="s">
        <v>6</v>
      </c>
      <c r="J7" s="4" t="s">
        <v>9</v>
      </c>
    </row>
    <row r="8" spans="1:10" x14ac:dyDescent="0.25">
      <c r="A8" s="6">
        <v>20</v>
      </c>
      <c r="B8" s="6">
        <v>1.01</v>
      </c>
      <c r="G8" s="4" t="s">
        <v>10</v>
      </c>
      <c r="H8" s="5">
        <v>0.4</v>
      </c>
      <c r="I8" s="4" t="s">
        <v>6</v>
      </c>
      <c r="J8" s="4" t="s">
        <v>11</v>
      </c>
    </row>
    <row r="9" spans="1:10" ht="30" x14ac:dyDescent="0.25">
      <c r="A9" s="6">
        <v>25</v>
      </c>
      <c r="B9" s="6">
        <v>1.28</v>
      </c>
      <c r="G9" s="4" t="s">
        <v>12</v>
      </c>
      <c r="H9" s="5">
        <v>25000000000</v>
      </c>
      <c r="I9" s="4" t="s">
        <v>23</v>
      </c>
      <c r="J9" s="4" t="s">
        <v>13</v>
      </c>
    </row>
    <row r="10" spans="1:10" ht="45" x14ac:dyDescent="0.25">
      <c r="A10" s="6">
        <v>30</v>
      </c>
      <c r="B10" s="6">
        <v>1.54</v>
      </c>
      <c r="G10" s="4" t="s">
        <v>14</v>
      </c>
      <c r="H10" s="5" t="s">
        <v>15</v>
      </c>
      <c r="I10" s="4" t="s">
        <v>16</v>
      </c>
      <c r="J10" s="4" t="s">
        <v>17</v>
      </c>
    </row>
    <row r="11" spans="1:10" x14ac:dyDescent="0.25">
      <c r="A11" s="6">
        <v>35</v>
      </c>
      <c r="B11" s="6">
        <v>1.77</v>
      </c>
    </row>
    <row r="12" spans="1:10" x14ac:dyDescent="0.25">
      <c r="A12" s="6">
        <v>40</v>
      </c>
      <c r="B12" s="6">
        <v>2.0499999999999998</v>
      </c>
      <c r="G12" s="4" t="s">
        <v>22</v>
      </c>
      <c r="H12">
        <f>H7*(H8)^3/12</f>
        <v>1.0666666666666669E-3</v>
      </c>
    </row>
    <row r="16" spans="1:10" x14ac:dyDescent="0.25">
      <c r="A16" s="7" t="s">
        <v>28</v>
      </c>
      <c r="B16" s="7" t="s">
        <v>29</v>
      </c>
      <c r="C16" s="7" t="s">
        <v>30</v>
      </c>
      <c r="D16" s="7" t="s">
        <v>31</v>
      </c>
      <c r="E16" s="7" t="s">
        <v>24</v>
      </c>
    </row>
    <row r="17" spans="1:7" x14ac:dyDescent="0.25">
      <c r="A17" s="10" t="s">
        <v>25</v>
      </c>
      <c r="B17" s="10" t="s">
        <v>26</v>
      </c>
      <c r="C17" s="10" t="s">
        <v>26</v>
      </c>
      <c r="D17" s="8" t="s">
        <v>27</v>
      </c>
      <c r="E17" s="8" t="s">
        <v>16</v>
      </c>
    </row>
    <row r="18" spans="1:7" x14ac:dyDescent="0.25">
      <c r="A18" s="9">
        <v>0</v>
      </c>
      <c r="B18" s="9">
        <f>B4/1000</f>
        <v>0</v>
      </c>
      <c r="C18" s="9">
        <f>A18*(H6)^3/(48*H9*H12)</f>
        <v>0</v>
      </c>
      <c r="D18" s="11">
        <v>0</v>
      </c>
      <c r="E18" s="9">
        <v>0</v>
      </c>
    </row>
    <row r="19" spans="1:7" x14ac:dyDescent="0.25">
      <c r="A19" s="9">
        <v>5000</v>
      </c>
      <c r="B19" s="9">
        <f>B5/1000</f>
        <v>2.6000000000000003E-4</v>
      </c>
      <c r="C19" s="9">
        <f>A19*(H6)^3/(48*H9*H12)</f>
        <v>2.4999999999999995E-4</v>
      </c>
      <c r="D19" s="11">
        <f>ABS(B19-C19)/ABS(C19)*100</f>
        <v>4.0000000000000329</v>
      </c>
      <c r="E19" s="9">
        <f>B19/A19</f>
        <v>5.2000000000000009E-8</v>
      </c>
    </row>
    <row r="20" spans="1:7" x14ac:dyDescent="0.25">
      <c r="A20" s="9">
        <v>10000</v>
      </c>
      <c r="B20" s="9">
        <f>B6/1000</f>
        <v>5.0000000000000001E-4</v>
      </c>
      <c r="C20" s="9">
        <f>A20*(H6)^3/(48*H9*H12)</f>
        <v>4.999999999999999E-4</v>
      </c>
      <c r="D20" s="11">
        <f>ABS(B20-C20)/ABS(C20)*100</f>
        <v>2.1684043449710095E-14</v>
      </c>
      <c r="E20" s="9">
        <f>B20/A20</f>
        <v>4.9999999999999998E-8</v>
      </c>
    </row>
    <row r="21" spans="1:7" x14ac:dyDescent="0.25">
      <c r="A21" s="9">
        <v>15000</v>
      </c>
      <c r="B21" s="9">
        <f>0.76/1000</f>
        <v>7.6000000000000004E-4</v>
      </c>
      <c r="C21" s="9">
        <f>A21*(H6)^3/(48*H9*H12)</f>
        <v>7.4999999999999991E-4</v>
      </c>
      <c r="D21" s="11">
        <f>ABS(B21-C21)/ABS(C21)*100</f>
        <v>1.3333333333333515</v>
      </c>
      <c r="E21" s="9">
        <f>B21/A21</f>
        <v>5.066666666666667E-8</v>
      </c>
    </row>
    <row r="22" spans="1:7" x14ac:dyDescent="0.25">
      <c r="A22" s="9">
        <v>20000</v>
      </c>
      <c r="B22" s="9">
        <f t="shared" ref="B22:B23" si="0">B8/1000</f>
        <v>1.01E-3</v>
      </c>
      <c r="C22" s="9">
        <f>A22*(H6)^3/(48*H9*H12)</f>
        <v>9.999999999999998E-4</v>
      </c>
      <c r="D22" s="11">
        <f>ABS(B22-C22)/ABS(C22)*100</f>
        <v>1.0000000000000244</v>
      </c>
      <c r="E22" s="9">
        <f t="shared" ref="E22:E26" si="1">B22/A22</f>
        <v>5.0500000000000002E-8</v>
      </c>
    </row>
    <row r="23" spans="1:7" x14ac:dyDescent="0.25">
      <c r="A23" s="9">
        <v>25000</v>
      </c>
      <c r="B23" s="9">
        <f t="shared" si="0"/>
        <v>1.2800000000000001E-3</v>
      </c>
      <c r="C23" s="9">
        <f>A23*(H6)^3/(48*H9*H12)</f>
        <v>1.2499999999999998E-3</v>
      </c>
      <c r="D23" s="11">
        <f>ABS(B23-C23)/ABS(C23)*100</f>
        <v>2.4000000000000239</v>
      </c>
      <c r="E23" s="9">
        <f t="shared" si="1"/>
        <v>5.1200000000000002E-8</v>
      </c>
    </row>
    <row r="24" spans="1:7" x14ac:dyDescent="0.25">
      <c r="A24" s="9">
        <v>30000</v>
      </c>
      <c r="B24" s="9">
        <f>1.54/1000</f>
        <v>1.5400000000000001E-3</v>
      </c>
      <c r="C24" s="9">
        <f>A24*(H6)^3/(48*H9*H12)</f>
        <v>1.4999999999999998E-3</v>
      </c>
      <c r="D24" s="11">
        <f>ABS(B24-C24)/ABS(C24)*100</f>
        <v>2.6666666666666883</v>
      </c>
      <c r="E24" s="9">
        <f>B24/A24</f>
        <v>5.1333333333333336E-8</v>
      </c>
    </row>
    <row r="25" spans="1:7" x14ac:dyDescent="0.25">
      <c r="A25" s="9">
        <v>35000</v>
      </c>
      <c r="B25" s="9">
        <f t="shared" ref="B25:B26" si="2">B11/1000</f>
        <v>1.7700000000000001E-3</v>
      </c>
      <c r="C25" s="9">
        <f>A25*(H6)^3/(48*H9*H12)</f>
        <v>1.7499999999999996E-3</v>
      </c>
      <c r="D25" s="11">
        <f>ABS(B25-C25)/ABS(C25)*100</f>
        <v>1.142857142857171</v>
      </c>
      <c r="E25" s="9">
        <f t="shared" ref="E25:E26" si="3">B25/A25</f>
        <v>5.0571428571428577E-8</v>
      </c>
    </row>
    <row r="26" spans="1:7" x14ac:dyDescent="0.25">
      <c r="A26" s="8">
        <v>40000</v>
      </c>
      <c r="B26" s="8">
        <f t="shared" si="2"/>
        <v>2.0499999999999997E-3</v>
      </c>
      <c r="C26" s="8">
        <f>A26*(H6)^3/(48*H9*H12)</f>
        <v>1.9999999999999996E-3</v>
      </c>
      <c r="D26" s="12">
        <f>ABS(B26-C26)/ABS(C26)*100</f>
        <v>2.5000000000000071</v>
      </c>
      <c r="E26" s="8">
        <f t="shared" si="3"/>
        <v>5.1249999999999992E-8</v>
      </c>
    </row>
    <row r="29" spans="1:7" x14ac:dyDescent="0.25">
      <c r="C29" s="13"/>
      <c r="D29" s="13"/>
      <c r="E29" s="13"/>
      <c r="F29" s="13"/>
      <c r="G29" s="13"/>
    </row>
    <row r="30" spans="1:7" x14ac:dyDescent="0.25">
      <c r="C30" s="13"/>
      <c r="D30" s="13"/>
      <c r="E30" s="13"/>
      <c r="F30" s="13"/>
      <c r="G30" s="13"/>
    </row>
    <row r="31" spans="1:7" x14ac:dyDescent="0.25">
      <c r="C31" s="13"/>
      <c r="D31" s="13"/>
      <c r="E31" s="13"/>
      <c r="F31" s="13"/>
      <c r="G31" s="13"/>
    </row>
    <row r="32" spans="1:7" x14ac:dyDescent="0.25">
      <c r="C32" s="13"/>
      <c r="D32" s="13"/>
      <c r="E32" s="13"/>
      <c r="F32" s="13"/>
      <c r="G32" s="13"/>
    </row>
    <row r="33" spans="3:7" x14ac:dyDescent="0.25">
      <c r="C33" s="13"/>
      <c r="D33" s="13"/>
      <c r="E33" s="13"/>
      <c r="F33" s="13"/>
      <c r="G33" s="13"/>
    </row>
    <row r="34" spans="3:7" x14ac:dyDescent="0.25">
      <c r="C34" s="13"/>
      <c r="D34" s="13"/>
      <c r="E34" s="13"/>
      <c r="F34" s="13"/>
      <c r="G34" s="13"/>
    </row>
    <row r="35" spans="3:7" x14ac:dyDescent="0.25">
      <c r="C35" s="13"/>
      <c r="D35" s="13"/>
      <c r="E35" s="13"/>
      <c r="F35" s="13"/>
      <c r="G35" s="13"/>
    </row>
    <row r="36" spans="3:7" x14ac:dyDescent="0.25">
      <c r="C36" s="13"/>
      <c r="D36" s="13"/>
      <c r="E36" s="13"/>
      <c r="F36" s="13"/>
      <c r="G36" s="13"/>
    </row>
    <row r="37" spans="3:7" x14ac:dyDescent="0.25">
      <c r="C37" s="13"/>
      <c r="D37" s="13"/>
      <c r="E37" s="13"/>
      <c r="F37" s="13"/>
      <c r="G37" s="13"/>
    </row>
    <row r="38" spans="3:7" x14ac:dyDescent="0.25">
      <c r="C38" s="13"/>
      <c r="D38" s="13"/>
      <c r="E38" s="13"/>
      <c r="F38" s="13"/>
      <c r="G38" s="13"/>
    </row>
    <row r="39" spans="3:7" x14ac:dyDescent="0.25">
      <c r="C39" s="13"/>
      <c r="D39" s="13"/>
      <c r="E39" s="13"/>
      <c r="F39" s="13"/>
      <c r="G39" s="13"/>
    </row>
    <row r="40" spans="3:7" x14ac:dyDescent="0.25">
      <c r="C40" s="13"/>
      <c r="D40" s="13"/>
      <c r="E40" s="13"/>
      <c r="F40" s="13"/>
      <c r="G40" s="13"/>
    </row>
    <row r="41" spans="3:7" x14ac:dyDescent="0.25">
      <c r="C41" s="13"/>
      <c r="D41" s="13"/>
      <c r="E41" s="13"/>
      <c r="F41" s="13"/>
      <c r="G41" s="13"/>
    </row>
    <row r="42" spans="3:7" x14ac:dyDescent="0.25">
      <c r="C42" s="13"/>
      <c r="D42" s="13"/>
      <c r="E42" s="13"/>
      <c r="F42" s="13"/>
      <c r="G42" s="13"/>
    </row>
    <row r="43" spans="3:7" x14ac:dyDescent="0.25">
      <c r="C43" s="13"/>
      <c r="D43" s="13"/>
      <c r="E43" s="13"/>
      <c r="F43" s="13"/>
      <c r="G43" s="13"/>
    </row>
    <row r="44" spans="3:7" x14ac:dyDescent="0.25">
      <c r="C44" s="13"/>
      <c r="D44" s="13"/>
      <c r="E44" s="13"/>
      <c r="F44" s="13"/>
      <c r="G44" s="13"/>
    </row>
    <row r="45" spans="3:7" x14ac:dyDescent="0.25">
      <c r="C45" s="13"/>
      <c r="D45" s="13"/>
      <c r="E45" s="13"/>
      <c r="F45" s="13"/>
      <c r="G45" s="13"/>
    </row>
    <row r="46" spans="3:7" x14ac:dyDescent="0.25">
      <c r="C46" s="13"/>
      <c r="D46" s="13"/>
      <c r="E46" s="13"/>
      <c r="F46" s="13"/>
      <c r="G46" s="13"/>
    </row>
    <row r="47" spans="3:7" x14ac:dyDescent="0.25">
      <c r="C47" s="13"/>
      <c r="D47" s="13"/>
      <c r="E47" s="13"/>
      <c r="F47" s="13"/>
      <c r="G47" s="13"/>
    </row>
  </sheetData>
  <mergeCells count="1">
    <mergeCell ref="G3:J3"/>
  </mergeCells>
  <pageMargins left="0.7" right="0.7" top="0.75" bottom="0.75" header="0.3" footer="0.3"/>
  <pageSetup orientation="portrait" r:id="rId1"/>
  <ignoredErrors>
    <ignoredError sqref="B21 B24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17FE-CA73-40DB-AEE2-C2291384F08A}">
  <dimension ref="A3:G17"/>
  <sheetViews>
    <sheetView workbookViewId="0">
      <selection activeCell="F15" sqref="B5:F15"/>
    </sheetView>
  </sheetViews>
  <sheetFormatPr baseColWidth="10" defaultRowHeight="15" x14ac:dyDescent="0.25"/>
  <cols>
    <col min="3" max="3" width="18.7109375" customWidth="1"/>
    <col min="4" max="4" width="17.28515625" customWidth="1"/>
    <col min="5" max="5" width="17.42578125" customWidth="1"/>
    <col min="6" max="6" width="21.7109375" customWidth="1"/>
  </cols>
  <sheetData>
    <row r="3" spans="1:7" x14ac:dyDescent="0.25">
      <c r="A3" s="13"/>
      <c r="B3" s="13"/>
      <c r="C3" s="13"/>
      <c r="D3" s="13"/>
      <c r="E3" s="13"/>
      <c r="F3" s="13"/>
      <c r="G3" s="13"/>
    </row>
    <row r="4" spans="1:7" x14ac:dyDescent="0.25">
      <c r="A4" s="13"/>
      <c r="B4" s="13"/>
      <c r="C4" s="13"/>
      <c r="D4" s="13"/>
      <c r="E4" s="13"/>
      <c r="F4" s="13"/>
      <c r="G4" s="13"/>
    </row>
    <row r="5" spans="1:7" x14ac:dyDescent="0.25">
      <c r="A5" s="13"/>
      <c r="B5" s="18" t="s">
        <v>28</v>
      </c>
      <c r="C5" s="18" t="s">
        <v>29</v>
      </c>
      <c r="D5" s="18" t="s">
        <v>30</v>
      </c>
      <c r="E5" s="14" t="s">
        <v>31</v>
      </c>
      <c r="F5" s="18" t="s">
        <v>32</v>
      </c>
      <c r="G5" s="13"/>
    </row>
    <row r="6" spans="1:7" x14ac:dyDescent="0.25">
      <c r="A6" s="13"/>
      <c r="B6" s="19" t="s">
        <v>25</v>
      </c>
      <c r="C6" s="19" t="s">
        <v>26</v>
      </c>
      <c r="D6" s="19" t="s">
        <v>26</v>
      </c>
      <c r="E6" s="17" t="s">
        <v>27</v>
      </c>
      <c r="F6" s="19" t="s">
        <v>16</v>
      </c>
      <c r="G6" s="13"/>
    </row>
    <row r="7" spans="1:7" x14ac:dyDescent="0.25">
      <c r="A7" s="13"/>
      <c r="B7" s="20">
        <v>0</v>
      </c>
      <c r="C7" s="20">
        <v>0</v>
      </c>
      <c r="D7" s="20">
        <v>0</v>
      </c>
      <c r="E7" s="15">
        <v>0</v>
      </c>
      <c r="F7" s="20">
        <v>0</v>
      </c>
      <c r="G7" s="13"/>
    </row>
    <row r="8" spans="1:7" x14ac:dyDescent="0.25">
      <c r="A8" s="13"/>
      <c r="B8" s="20">
        <v>5000</v>
      </c>
      <c r="C8" s="21">
        <v>2.6000000000000003E-4</v>
      </c>
      <c r="D8" s="21">
        <v>2.4999999999999995E-4</v>
      </c>
      <c r="E8" s="15">
        <v>4.0000000000000329</v>
      </c>
      <c r="F8" s="23">
        <v>5.2000000000000009E-8</v>
      </c>
      <c r="G8" s="13"/>
    </row>
    <row r="9" spans="1:7" x14ac:dyDescent="0.25">
      <c r="A9" s="13"/>
      <c r="B9" s="20">
        <v>10000</v>
      </c>
      <c r="C9" s="21">
        <v>5.0000000000000001E-4</v>
      </c>
      <c r="D9" s="21">
        <v>4.999999999999999E-4</v>
      </c>
      <c r="E9" s="15">
        <v>2.1684043449710095E-14</v>
      </c>
      <c r="F9" s="23">
        <v>4.9999999999999998E-8</v>
      </c>
      <c r="G9" s="13"/>
    </row>
    <row r="10" spans="1:7" x14ac:dyDescent="0.25">
      <c r="A10" s="13"/>
      <c r="B10" s="20">
        <v>15000</v>
      </c>
      <c r="C10" s="21">
        <v>7.6000000000000004E-4</v>
      </c>
      <c r="D10" s="21">
        <v>7.4999999999999991E-4</v>
      </c>
      <c r="E10" s="15">
        <v>1.3333333333333515</v>
      </c>
      <c r="F10" s="23">
        <v>5.066666666666667E-8</v>
      </c>
      <c r="G10" s="13"/>
    </row>
    <row r="11" spans="1:7" x14ac:dyDescent="0.25">
      <c r="A11" s="13"/>
      <c r="B11" s="20">
        <v>20000</v>
      </c>
      <c r="C11" s="21">
        <v>1.01E-3</v>
      </c>
      <c r="D11" s="21">
        <v>9.999999999999998E-4</v>
      </c>
      <c r="E11" s="15">
        <v>1.0000000000000244</v>
      </c>
      <c r="F11" s="23">
        <v>5.0500000000000002E-8</v>
      </c>
      <c r="G11" s="13"/>
    </row>
    <row r="12" spans="1:7" x14ac:dyDescent="0.25">
      <c r="A12" s="13"/>
      <c r="B12" s="20">
        <v>25000</v>
      </c>
      <c r="C12" s="21">
        <v>1.2800000000000001E-3</v>
      </c>
      <c r="D12" s="21">
        <v>1.2499999999999998E-3</v>
      </c>
      <c r="E12" s="15">
        <v>2.4000000000000239</v>
      </c>
      <c r="F12" s="23">
        <v>5.1200000000000002E-8</v>
      </c>
      <c r="G12" s="13"/>
    </row>
    <row r="13" spans="1:7" x14ac:dyDescent="0.25">
      <c r="A13" s="13"/>
      <c r="B13" s="20">
        <v>30000</v>
      </c>
      <c r="C13" s="21">
        <v>1.5400000000000001E-3</v>
      </c>
      <c r="D13" s="21">
        <v>1.4999999999999998E-3</v>
      </c>
      <c r="E13" s="15">
        <v>2.6666666666666883</v>
      </c>
      <c r="F13" s="23">
        <v>5.1333333333333336E-8</v>
      </c>
      <c r="G13" s="13"/>
    </row>
    <row r="14" spans="1:7" x14ac:dyDescent="0.25">
      <c r="A14" s="13"/>
      <c r="B14" s="20">
        <v>35000</v>
      </c>
      <c r="C14" s="21">
        <v>1.7700000000000001E-3</v>
      </c>
      <c r="D14" s="21">
        <v>1.7499999999999996E-3</v>
      </c>
      <c r="E14" s="15">
        <v>1.142857142857171</v>
      </c>
      <c r="F14" s="23">
        <v>5.0571428571428577E-8</v>
      </c>
      <c r="G14" s="13"/>
    </row>
    <row r="15" spans="1:7" x14ac:dyDescent="0.25">
      <c r="A15" s="13"/>
      <c r="B15" s="19">
        <v>40000</v>
      </c>
      <c r="C15" s="22">
        <v>2.0499999999999997E-3</v>
      </c>
      <c r="D15" s="22">
        <v>1.9999999999999996E-3</v>
      </c>
      <c r="E15" s="16">
        <v>2.5000000000000071</v>
      </c>
      <c r="F15" s="24">
        <v>5.1249999999999992E-8</v>
      </c>
      <c r="G15" s="13"/>
    </row>
    <row r="16" spans="1:7" x14ac:dyDescent="0.25">
      <c r="A16" s="13"/>
      <c r="B16" s="13"/>
      <c r="C16" s="13"/>
      <c r="D16" s="13"/>
      <c r="E16" s="13"/>
      <c r="F16" s="13"/>
      <c r="G16" s="13"/>
    </row>
    <row r="17" spans="1:7" x14ac:dyDescent="0.25">
      <c r="A17" s="13"/>
      <c r="B17" s="13"/>
      <c r="C17" s="13"/>
      <c r="D17" s="13"/>
      <c r="E17" s="13"/>
      <c r="F17" s="13"/>
      <c r="G1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Aliro Torrejon</cp:lastModifiedBy>
  <dcterms:created xsi:type="dcterms:W3CDTF">2015-06-05T18:19:34Z</dcterms:created>
  <dcterms:modified xsi:type="dcterms:W3CDTF">2026-10-07T02:58:11Z</dcterms:modified>
</cp:coreProperties>
</file>